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📋 NHẬP THÔNG TIN" sheetId="2" state="visible" r:id="rId4"/>
    <sheet name="📊 KẾT QUẢ" sheetId="3" state="visible" r:id="rId5"/>
    <sheet name="🔍 SO SÁN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<sst xmlns="http://schemas.openxmlformats.org/spreadsheetml/2006/main" count="110" uniqueCount="93">
  <si>
    <t xml:space="preserve">BẢNG TÍNH CHI PHÍ NUÔI CON TỪ 0–18 TUỔI</t>
  </si>
  <si>
    <t xml:space="preserve">Công cụ lập kế hoạch tài chính cho gia đình</t>
  </si>
  <si>
    <t xml:space="preserve">CÁCH SỬ DỤNG</t>
  </si>
  <si>
    <t xml:space="preserve">Bước 1</t>
  </si>
  <si>
    <t xml:space="preserve">Vào sheet 📋 NHẬP THÔNG TIN → điền thông tin về con và gia đình (ô màu vàng)</t>
  </si>
  <si>
    <t xml:space="preserve">Bước 2</t>
  </si>
  <si>
    <t xml:space="preserve">Chọn kịch bản: Thành phố lớn (HN/HCM) hay Tỉnh/TP vừa</t>
  </si>
  <si>
    <t xml:space="preserve">Bước 3</t>
  </si>
  <si>
    <t xml:space="preserve">Xem kết quả tự động tại sheet 📊 KẾT QUẢ</t>
  </si>
  <si>
    <t xml:space="preserve">Bước 4</t>
  </si>
  <si>
    <t xml:space="preserve">So sánh hai kịch bản tại sheet 🔍 SO SÁNH</t>
  </si>
  <si>
    <t xml:space="preserve">LƯU Ý QUAN TRỌNG</t>
  </si>
  <si>
    <t xml:space="preserve">Ô màu vàng</t>
  </si>
  <si>
    <t xml:space="preserve">Ô bạn cần điền / thay đổi</t>
  </si>
  <si>
    <t xml:space="preserve">Ô màu trắng</t>
  </si>
  <si>
    <t xml:space="preserve">Công thức tự tính, không sửa</t>
  </si>
  <si>
    <t xml:space="preserve">Lạm phát giả định</t>
  </si>
  <si>
    <t xml:space="preserve">7%/năm (mức trung bình Việt Nam 10 năm gần đây)</t>
  </si>
  <si>
    <t xml:space="preserve">Chi phí học đại học</t>
  </si>
  <si>
    <t xml:space="preserve">Tính 4 năm, chưa bao gồm du học nước ngoài</t>
  </si>
  <si>
    <t xml:space="preserve">DANH MỤC CHI PHÍ</t>
  </si>
  <si>
    <t xml:space="preserve">Học phí</t>
  </si>
  <si>
    <t xml:space="preserve">Mầm non → Tiểu học → THCS → THPT → Đại học</t>
  </si>
  <si>
    <t xml:space="preserve">Sinh hoạt phí</t>
  </si>
  <si>
    <t xml:space="preserve">Ăn uống, quần áo, đi lại hàng ngày</t>
  </si>
  <si>
    <t xml:space="preserve">Học thêm / năng khiếu</t>
  </si>
  <si>
    <t xml:space="preserve">Tiếng Anh, năng khiếu, kỹ năng mềm</t>
  </si>
  <si>
    <t xml:space="preserve">Y tế</t>
  </si>
  <si>
    <t xml:space="preserve">Khám bệnh, vaccine, bảo hiểm sức khỏe</t>
  </si>
  <si>
    <t xml:space="preserve">Vui chơi / du lịch</t>
  </si>
  <si>
    <t xml:space="preserve">Sinh nhật, nghỉ hè, hoạt động gia đình</t>
  </si>
  <si>
    <t xml:space="preserve">Dự phòng</t>
  </si>
  <si>
    <t xml:space="preserve">Các chi phí phát sinh không dự kiến (10%)</t>
  </si>
  <si>
    <t xml:space="preserve">NHẬP THÔNG TIN GIA ĐÌNH</t>
  </si>
  <si>
    <t xml:space="preserve">Điền vào các ô màu vàng bên dưới</t>
  </si>
  <si>
    <t xml:space="preserve">  THÔNG TIN VỀ CON</t>
  </si>
  <si>
    <t xml:space="preserve">Tuổi hiện tại của con (năm)</t>
  </si>
  <si>
    <t xml:space="preserve">Nhập số từ 0 đến 17</t>
  </si>
  <si>
    <t xml:space="preserve">Giới tính</t>
  </si>
  <si>
    <t xml:space="preserve">Nam</t>
  </si>
  <si>
    <t xml:space="preserve">Nam / Nữ (nữ thường cao hơn ~5% chi phí)</t>
  </si>
  <si>
    <t xml:space="preserve">Mục tiêu học tập</t>
  </si>
  <si>
    <t xml:space="preserve">Đại học công lập</t>
  </si>
  <si>
    <t xml:space="preserve">Đại học công lập / Đại học tư / Du học</t>
  </si>
  <si>
    <t xml:space="preserve">  THÔNG TIN TÀI CHÍNH GIA ĐÌNH</t>
  </si>
  <si>
    <t xml:space="preserve">Thu nhập hộ gia đình/tháng (đ)</t>
  </si>
  <si>
    <t xml:space="preserve">Tổng thu nhập cả hai vợ chồng</t>
  </si>
  <si>
    <t xml:space="preserve">Đang tiết kiệm cho con/tháng (đ)</t>
  </si>
  <si>
    <t xml:space="preserve">Số tiền đang để dành cho con mỗi tháng</t>
  </si>
  <si>
    <t xml:space="preserve">Quỹ đã có sẵn cho con (đ)</t>
  </si>
  <si>
    <t xml:space="preserve">Tiền tiết kiệm đã có, hoặc 0 nếu chưa có</t>
  </si>
  <si>
    <t xml:space="preserve">  GIẢ ĐỊNH (CÓ THỂ ĐIỀU CHỈNH)</t>
  </si>
  <si>
    <t xml:space="preserve">Tỷ lệ lạm phát/năm</t>
  </si>
  <si>
    <t xml:space="preserve">Mặc định 7% — mức trung bình VN</t>
  </si>
  <si>
    <t xml:space="preserve">Lãi suất tiết kiệm/năm</t>
  </si>
  <si>
    <t xml:space="preserve">Lãi suất gửi tiết kiệm (mặc định 6.5%)</t>
  </si>
  <si>
    <t xml:space="preserve">→ Xem kết quả tính toán tại sheet: 📊 KẾT QUẢ  |  So sánh hai kịch bản tại: 🔍 SO SÁNH</t>
  </si>
  <si>
    <t xml:space="preserve">KẾT QUẢ TÍNH TOÁN CHI PHÍ NUÔI CON</t>
  </si>
  <si>
    <t xml:space="preserve">THÀNH PHỐ LỚN (HN/HCM)</t>
  </si>
  <si>
    <t xml:space="preserve">TỈNH / TP VỪA</t>
  </si>
  <si>
    <t xml:space="preserve">  CHI PHÍ DỰ KIẾN THEO GIAI ĐOẠN (có tính lạm phát)</t>
  </si>
  <si>
    <t xml:space="preserve">Mầm non (0–5 tuổi)</t>
  </si>
  <si>
    <t xml:space="preserve">Tiểu học (6–10 tuổi)</t>
  </si>
  <si>
    <t xml:space="preserve">THCS (11–14 tuổi)</t>
  </si>
  <si>
    <t xml:space="preserve">THPT (15–17 tuổi)</t>
  </si>
  <si>
    <t xml:space="preserve">Đại học (18–21 tuổi)</t>
  </si>
  <si>
    <t xml:space="preserve">Cộng chi phí giai đoạn</t>
  </si>
  <si>
    <t xml:space="preserve">Dự phòng phát sinh (10%)</t>
  </si>
  <si>
    <t xml:space="preserve">TỔNG CHI PHÍ ƯỚC TÍNH</t>
  </si>
  <si>
    <t xml:space="preserve">  KẾ HOẠCH TIẾT KIỆM CẦN THIẾT</t>
  </si>
  <si>
    <t xml:space="preserve">Số năm còn lại đến 18 tuổi</t>
  </si>
  <si>
    <t xml:space="preserve">Giá trị quỹ hiện tại (tương lai)</t>
  </si>
  <si>
    <t xml:space="preserve">Giá trị tiết kiệm hàng tháng (tương lai)</t>
  </si>
  <si>
    <t xml:space="preserve">Tổng dự kiến tích lũy được</t>
  </si>
  <si>
    <t xml:space="preserve">KHOẢNG THIẾU HỤT (nếu có)</t>
  </si>
  <si>
    <t xml:space="preserve">  CẦN TIẾT KIỆM THÊM MỖI THÁNG</t>
  </si>
  <si>
    <t xml:space="preserve">Số tiền cần để dành thêm/tháng</t>
  </si>
  <si>
    <t xml:space="preserve">% thu nhập cần dành cho con</t>
  </si>
  <si>
    <t xml:space="preserve">* Số liệu mang tính ước tính dựa trên chi phí trung bình thị trường. Liên hệ chuyên viên tư vấn để có kế hoạch cá nhân hóa phù hợp.</t>
  </si>
  <si>
    <t xml:space="preserve">SO SÁNH HAI KỊCH BẢN</t>
  </si>
  <si>
    <t xml:space="preserve">HẠNG MỤC</t>
  </si>
  <si>
    <t xml:space="preserve">THÀNH PHỐ LỚN</t>
  </si>
  <si>
    <t xml:space="preserve">CHÊNH LỆCH</t>
  </si>
  <si>
    <t xml:space="preserve">Tổng chi phí ước tính</t>
  </si>
  <si>
    <t xml:space="preserve">Tổng tích lũy dự kiến</t>
  </si>
  <si>
    <t xml:space="preserve">Khoảng thiếu hụt</t>
  </si>
  <si>
    <t xml:space="preserve">Cần để dành thêm/tháng</t>
  </si>
  <si>
    <t xml:space="preserve">NHẬN XÉT NHANH</t>
  </si>
  <si>
    <t xml:space="preserve">  •  Chi phí tại thành phố lớn thường cao hơn tỉnh/TP vừa khoảng 50–80%.</t>
  </si>
  <si>
    <t xml:space="preserve">  •  Học phí trường tư và học thêm là khoản biến động lớn nhất.</t>
  </si>
  <si>
    <t xml:space="preserve">  •  Bắt đầu tiết kiệm sớm từ lúc con còn nhỏ giúp giảm áp lực đáng kể.</t>
  </si>
  <si>
    <t xml:space="preserve">  •  Lạm phát 7%/năm khiến chi phí tăng gấp đôi sau ~10 năm.</t>
  </si>
  <si>
    <t xml:space="preserve">  •  Kết hợp tiết kiệm + bảo hiểm nhân thọ giúp bảo vệ quỹ giáo dục toàn diện hơn.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</si>
</sst>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đ&quot;"/>
    <numFmt numFmtId="166" formatCode="0.0%"/>
    <numFmt numFmtId="167" formatCode="0&quot; năm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D6A47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1D6A4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D6A47"/>
        <bgColor rgb="FF1E8449"/>
      </patternFill>
    </fill>
    <fill>
      <patternFill patternType="solid">
        <fgColor rgb="FF2E8B57"/>
        <bgColor rgb="FF1E8449"/>
      </patternFill>
    </fill>
    <fill>
      <patternFill patternType="solid">
        <fgColor rgb="FFE8F5EE"/>
        <bgColor rgb="FFEAFAF1"/>
      </patternFill>
    </fill>
    <fill>
      <patternFill patternType="solid">
        <fgColor rgb="FFFFFFFF"/>
        <bgColor rgb="FFFFF9E6"/>
      </patternFill>
    </fill>
    <fill>
      <patternFill patternType="solid">
        <fgColor rgb="FFFFF9E6"/>
        <bgColor rgb="FFF5F5F5"/>
      </patternFill>
    </fill>
    <fill>
      <patternFill patternType="solid">
        <fgColor rgb="FF1A5276"/>
        <bgColor rgb="FF1D6A47"/>
      </patternFill>
    </fill>
    <fill>
      <patternFill patternType="solid">
        <fgColor rgb="FF1E8449"/>
        <bgColor rgb="FF2E8B57"/>
      </patternFill>
    </fill>
    <fill>
      <patternFill patternType="solid">
        <fgColor rgb="FFF5F5F5"/>
        <bgColor rgb="FFEBF5FB"/>
      </patternFill>
    </fill>
    <fill>
      <patternFill patternType="solid">
        <fgColor rgb="FFD5E8C0"/>
        <bgColor rgb="FFE8F5EE"/>
      </patternFill>
    </fill>
    <fill>
      <patternFill patternType="solid">
        <fgColor rgb="FFEBF5FB"/>
        <bgColor rgb="FFE8F5EE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EAFAF1"/>
        <bgColor rgb="FFE8F5E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hair">
        <color rgb="FFCCCCCC"/>
      </left>
      <right/>
      <top style="hair">
        <color rgb="FFCCCCCC"/>
      </top>
      <bottom style="hair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CCCCCC"/>
      <rgbColor rgb="FF888888"/>
      <rgbColor rgb="FF9999FF"/>
      <rgbColor rgb="FF993366"/>
      <rgbColor rgb="FFFFF9E6"/>
      <rgbColor rgb="FFEAFAF1"/>
      <rgbColor rgb="FF660066"/>
      <rgbColor rgb="FFFF8080"/>
      <rgbColor rgb="FF0066CC"/>
      <rgbColor rgb="FFEBF5FB"/>
      <rgbColor rgb="FF000080"/>
      <rgbColor rgb="FFFF00FF"/>
      <rgbColor rgb="FFFFFF00"/>
      <rgbColor rgb="FF00FFFF"/>
      <rgbColor rgb="FF800080"/>
      <rgbColor rgb="FF800000"/>
      <rgbColor rgb="FF1D6A47"/>
      <rgbColor rgb="FF0000FF"/>
      <rgbColor rgb="FF00CCFF"/>
      <rgbColor rgb="FFE8F5EE"/>
      <rgbColor rgb="FFD5E8C0"/>
      <rgbColor rgb="FFFDEBD0"/>
      <rgbColor rgb="FFF5F5F5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2E8B57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50"/>
  </cols>
  <sheetData>
    <row r="1" customFormat="false" ht="39.75" hidden="false" customHeight="true" outlineLevel="0" collapsed="false">
      <c r="B1" s="2" t="s">
        <v>0</v>
      </c>
      <c r="C1" s="2"/>
    </row>
    <row r="2" customFormat="false" ht="24" hidden="false" customHeight="true" outlineLevel="0" collapsed="false">
      <c r="B2" s="3" t="s">
        <v>1</v>
      </c>
      <c r="C2" s="3"/>
    </row>
    <row r="4" customFormat="false" ht="21.75" hidden="false" customHeight="true" outlineLevel="0" collapsed="false">
      <c r="B4" s="4" t="s">
        <v>2</v>
      </c>
      <c r="C4" s="4"/>
    </row>
    <row r="5" customFormat="false" ht="21.75" hidden="false" customHeight="true" outlineLevel="0" collapsed="false">
      <c r="B5" s="5" t="s">
        <v>3</v>
      </c>
      <c r="C5" s="6" t="s">
        <v>4</v>
      </c>
    </row>
    <row r="6" customFormat="false" ht="21.75" hidden="false" customHeight="true" outlineLevel="0" collapsed="false">
      <c r="B6" s="5" t="s">
        <v>5</v>
      </c>
      <c r="C6" s="6" t="s">
        <v>6</v>
      </c>
    </row>
    <row r="7" customFormat="false" ht="21.75" hidden="false" customHeight="true" outlineLevel="0" collapsed="false">
      <c r="B7" s="5" t="s">
        <v>7</v>
      </c>
      <c r="C7" s="6" t="s">
        <v>8</v>
      </c>
    </row>
    <row r="8" customFormat="false" ht="21.75" hidden="false" customHeight="true" outlineLevel="0" collapsed="false">
      <c r="B8" s="5" t="s">
        <v>9</v>
      </c>
      <c r="C8" s="6" t="s">
        <v>10</v>
      </c>
    </row>
    <row r="10" customFormat="false" ht="21.75" hidden="false" customHeight="true" outlineLevel="0" collapsed="false">
      <c r="B10" s="7" t="s">
        <v>11</v>
      </c>
      <c r="C10" s="7"/>
    </row>
    <row r="11" customFormat="false" ht="21.75" hidden="false" customHeight="true" outlineLevel="0" collapsed="false">
      <c r="B11" s="5" t="s">
        <v>12</v>
      </c>
      <c r="C11" s="6" t="s">
        <v>13</v>
      </c>
    </row>
    <row r="12" customFormat="false" ht="21.75" hidden="false" customHeight="true" outlineLevel="0" collapsed="false">
      <c r="B12" s="5" t="s">
        <v>14</v>
      </c>
      <c r="C12" s="6" t="s">
        <v>15</v>
      </c>
    </row>
    <row r="13" customFormat="false" ht="21.75" hidden="false" customHeight="true" outlineLevel="0" collapsed="false">
      <c r="B13" s="5" t="s">
        <v>16</v>
      </c>
      <c r="C13" s="6" t="s">
        <v>17</v>
      </c>
    </row>
    <row r="14" customFormat="false" ht="21.75" hidden="false" customHeight="true" outlineLevel="0" collapsed="false">
      <c r="B14" s="5" t="s">
        <v>18</v>
      </c>
      <c r="C14" s="6" t="s">
        <v>19</v>
      </c>
    </row>
    <row r="16" customFormat="false" ht="21.75" hidden="false" customHeight="true" outlineLevel="0" collapsed="false">
      <c r="B16" s="4" t="s">
        <v>20</v>
      </c>
      <c r="C16" s="4"/>
    </row>
    <row r="17" customFormat="false" ht="21.75" hidden="false" customHeight="true" outlineLevel="0" collapsed="false">
      <c r="B17" s="5" t="s">
        <v>21</v>
      </c>
      <c r="C17" s="6" t="s">
        <v>22</v>
      </c>
    </row>
    <row r="18" customFormat="false" ht="21.75" hidden="false" customHeight="true" outlineLevel="0" collapsed="false">
      <c r="B18" s="5" t="s">
        <v>23</v>
      </c>
      <c r="C18" s="6" t="s">
        <v>24</v>
      </c>
    </row>
    <row r="19" customFormat="false" ht="21.75" hidden="false" customHeight="true" outlineLevel="0" collapsed="false">
      <c r="B19" s="5" t="s">
        <v>25</v>
      </c>
      <c r="C19" s="6" t="s">
        <v>26</v>
      </c>
    </row>
    <row r="20" customFormat="false" ht="21.75" hidden="false" customHeight="true" outlineLevel="0" collapsed="false">
      <c r="B20" s="5" t="s">
        <v>27</v>
      </c>
      <c r="C20" s="6" t="s">
        <v>28</v>
      </c>
    </row>
    <row r="21" customFormat="false" ht="21.75" hidden="false" customHeight="true" outlineLevel="0" collapsed="false">
      <c r="B21" s="5" t="s">
        <v>29</v>
      </c>
      <c r="C21" s="6" t="s">
        <v>30</v>
      </c>
    </row>
    <row r="22" customFormat="false" ht="21.75" hidden="false" customHeight="true" outlineLevel="0" collapsed="false">
      <c r="B22" s="5" t="s">
        <v>31</v>
      </c>
      <c r="C22" s="6" t="s">
        <v>32</v>
      </c>
    </row>
  </sheetData>
  <mergeCells count="5">
    <mergeCell ref="B1:C1"/>
    <mergeCell ref="B2:C2"/>
    <mergeCell ref="B4:C4"/>
    <mergeCell ref="B10:C10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5"/>
    <col collapsed="false" customWidth="true" hidden="false" outlineLevel="0" max="5" min="5" style="1" width="22"/>
    <col collapsed="false" customWidth="true" hidden="false" outlineLevel="0" max="6" min="6" style="1" width="28"/>
  </cols>
  <sheetData>
    <row r="1" customFormat="false" ht="36" hidden="false" customHeight="true" outlineLevel="0" collapsed="false">
      <c r="B1" s="8" t="s">
        <v>33</v>
      </c>
      <c r="C1" s="8"/>
      <c r="D1" s="8"/>
      <c r="E1" s="8"/>
      <c r="F1" s="8"/>
    </row>
    <row r="2" customFormat="false" ht="15" hidden="false" customHeight="true" outlineLevel="0" collapsed="false">
      <c r="B2" s="9" t="s">
        <v>34</v>
      </c>
      <c r="C2" s="9"/>
      <c r="D2" s="9"/>
      <c r="E2" s="9"/>
      <c r="F2" s="9"/>
    </row>
    <row r="4" customFormat="false" ht="19.5" hidden="false" customHeight="true" outlineLevel="0" collapsed="false">
      <c r="B4" s="10" t="s">
        <v>35</v>
      </c>
      <c r="C4" s="10"/>
      <c r="D4" s="10"/>
      <c r="E4" s="10"/>
      <c r="F4" s="10"/>
    </row>
    <row r="5" customFormat="false" ht="21.75" hidden="false" customHeight="true" outlineLevel="0" collapsed="false">
      <c r="B5" s="11" t="s">
        <v>36</v>
      </c>
      <c r="C5" s="12" t="n">
        <v>3</v>
      </c>
      <c r="E5" s="13" t="s">
        <v>37</v>
      </c>
    </row>
    <row r="6" customFormat="false" ht="21.75" hidden="false" customHeight="true" outlineLevel="0" collapsed="false">
      <c r="B6" s="11" t="s">
        <v>38</v>
      </c>
      <c r="C6" s="12" t="s">
        <v>39</v>
      </c>
      <c r="E6" s="13" t="s">
        <v>40</v>
      </c>
    </row>
    <row r="7" customFormat="false" ht="21.75" hidden="false" customHeight="true" outlineLevel="0" collapsed="false">
      <c r="B7" s="11" t="s">
        <v>41</v>
      </c>
      <c r="C7" s="12" t="s">
        <v>42</v>
      </c>
      <c r="E7" s="13" t="s">
        <v>43</v>
      </c>
    </row>
    <row r="9" customFormat="false" ht="19.5" hidden="false" customHeight="true" outlineLevel="0" collapsed="false">
      <c r="B9" s="10" t="s">
        <v>44</v>
      </c>
      <c r="C9" s="10"/>
      <c r="D9" s="10"/>
      <c r="E9" s="10"/>
      <c r="F9" s="10"/>
    </row>
    <row r="10" customFormat="false" ht="21.75" hidden="false" customHeight="true" outlineLevel="0" collapsed="false">
      <c r="B10" s="11" t="s">
        <v>45</v>
      </c>
      <c r="C10" s="14" t="n">
        <v>25000000</v>
      </c>
      <c r="E10" s="13" t="s">
        <v>46</v>
      </c>
    </row>
    <row r="11" customFormat="false" ht="21.75" hidden="false" customHeight="true" outlineLevel="0" collapsed="false">
      <c r="B11" s="11" t="s">
        <v>47</v>
      </c>
      <c r="C11" s="14" t="n">
        <v>2000000</v>
      </c>
      <c r="E11" s="13" t="s">
        <v>48</v>
      </c>
    </row>
    <row r="12" customFormat="false" ht="21.75" hidden="false" customHeight="true" outlineLevel="0" collapsed="false">
      <c r="B12" s="11" t="s">
        <v>49</v>
      </c>
      <c r="C12" s="14" t="n">
        <v>10000000</v>
      </c>
      <c r="E12" s="13" t="s">
        <v>50</v>
      </c>
    </row>
    <row r="14" customFormat="false" ht="19.5" hidden="false" customHeight="true" outlineLevel="0" collapsed="false">
      <c r="B14" s="10" t="s">
        <v>51</v>
      </c>
      <c r="C14" s="10"/>
      <c r="D14" s="10"/>
      <c r="E14" s="10"/>
      <c r="F14" s="10"/>
    </row>
    <row r="15" customFormat="false" ht="21.75" hidden="false" customHeight="true" outlineLevel="0" collapsed="false">
      <c r="B15" s="11" t="s">
        <v>52</v>
      </c>
      <c r="C15" s="15" t="n">
        <v>0.07</v>
      </c>
      <c r="E15" s="13" t="s">
        <v>53</v>
      </c>
    </row>
    <row r="16" customFormat="false" ht="21.75" hidden="false" customHeight="true" outlineLevel="0" collapsed="false">
      <c r="B16" s="11" t="s">
        <v>54</v>
      </c>
      <c r="C16" s="15" t="n">
        <v>0.065</v>
      </c>
      <c r="E16" s="13" t="s">
        <v>55</v>
      </c>
    </row>
    <row r="18" customFormat="false" ht="15" hidden="false" customHeight="true" outlineLevel="0" collapsed="false">
      <c r="B18" s="16" t="s">
        <v>56</v>
      </c>
      <c r="C18" s="16"/>
      <c r="D18" s="16"/>
      <c r="E18" s="16"/>
      <c r="F18" s="16"/>
    </row>
  </sheetData>
  <mergeCells count="6">
    <mergeCell ref="B1:F1"/>
    <mergeCell ref="B2:F2"/>
    <mergeCell ref="B4:F4"/>
    <mergeCell ref="B9:F9"/>
    <mergeCell ref="B14:F14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4"/>
    <col collapsed="false" customWidth="true" hidden="false" outlineLevel="0" max="5" min="5" style="1" width="26"/>
    <col collapsed="false" customWidth="true" hidden="false" outlineLevel="0" max="6" min="6" style="1" width="20"/>
  </cols>
  <sheetData>
    <row r="1" customFormat="false" ht="36" hidden="false" customHeight="true" outlineLevel="0" collapsed="false">
      <c r="B1" s="8" t="s">
        <v>57</v>
      </c>
      <c r="C1" s="8"/>
      <c r="D1" s="8"/>
      <c r="E1" s="8"/>
      <c r="F1" s="8"/>
    </row>
    <row r="2" customFormat="false" ht="24" hidden="false" customHeight="true" outlineLevel="0" collapsed="false">
      <c r="C2" s="17" t="s">
        <v>58</v>
      </c>
      <c r="F2" s="18" t="s">
        <v>59</v>
      </c>
    </row>
    <row r="4" customFormat="false" ht="19.5" hidden="false" customHeight="true" outlineLevel="0" collapsed="false">
      <c r="B4" s="10" t="s">
        <v>60</v>
      </c>
      <c r="C4" s="10"/>
      <c r="D4" s="10"/>
      <c r="E4" s="10"/>
      <c r="F4" s="10"/>
    </row>
    <row r="5" customFormat="false" ht="21.75" hidden="false" customHeight="true" outlineLevel="0" collapsed="false">
      <c r="B5" s="11" t="s">
        <v>61</v>
      </c>
      <c r="C5" s="19" t="n">
        <f aca="false">MAX(0,5-MAX('📋 NHẬP THÔNG TIN'!C5,0)+1)*3500000*12*(1+'📋 NHẬP THÔNG TIN'!C15)^MAX(0,2.5-'📋 NHẬP THÔNG TIN'!C5)</f>
        <v>126000000</v>
      </c>
      <c r="D5" s="20"/>
      <c r="E5" s="11" t="s">
        <v>61</v>
      </c>
      <c r="F5" s="19" t="n">
        <f aca="false">MAX(0,5-MAX('📋 NHẬP THÔNG TIN'!C5,0)+1)*1800000*12*(1+'📋 NHẬP THÔNG TIN'!C15)^MAX(0,2.5-'📋 NHẬP THÔNG TIN'!C5)</f>
        <v>64800000</v>
      </c>
    </row>
    <row r="6" customFormat="false" ht="21.75" hidden="false" customHeight="true" outlineLevel="0" collapsed="false">
      <c r="B6" s="11" t="s">
        <v>62</v>
      </c>
      <c r="C6" s="19" t="n">
        <f aca="false">MAX(0,10-MAX('📋 NHẬP THÔNG TIN'!C5,6)+1)*4200000*12*(1+'📋 NHẬP THÔNG TIN'!C15)^MAX(0,8-'📋 NHẬP THÔNG TIN'!C5)</f>
        <v>353443036.1364</v>
      </c>
      <c r="D6" s="20"/>
      <c r="E6" s="11" t="s">
        <v>62</v>
      </c>
      <c r="F6" s="19" t="n">
        <f aca="false">MAX(0,10-MAX('📋 NHẬP THÔNG TIN'!C5,6)+1)*2200000*12*(1+'📋 NHẬP THÔNG TIN'!C15)^MAX(0,8-'📋 NHẬP THÔNG TIN'!C5)</f>
        <v>185136828.4524</v>
      </c>
    </row>
    <row r="7" customFormat="false" ht="21.75" hidden="false" customHeight="true" outlineLevel="0" collapsed="false">
      <c r="B7" s="11" t="s">
        <v>63</v>
      </c>
      <c r="C7" s="19" t="n">
        <f aca="false">MAX(0,14-MAX('📋 NHẬP THÔNG TIN'!C5,11)+1)*5000000*12*(1+'📋 NHẬP THÔNG TIN'!C15)^MAX(0,12.5-'📋 NHẬP THÔNG TIN'!C5)</f>
        <v>456412079.176207</v>
      </c>
      <c r="D7" s="20"/>
      <c r="E7" s="11" t="s">
        <v>63</v>
      </c>
      <c r="F7" s="19" t="n">
        <f aca="false">MAX(0,14-MAX('📋 NHẬP THÔNG TIN'!C5,11)+1)*2800000*12*(1+'📋 NHẬP THÔNG TIN'!C15)^MAX(0,12.5-'📋 NHẬP THÔNG TIN'!C5)</f>
        <v>255590764.338676</v>
      </c>
    </row>
    <row r="8" customFormat="false" ht="21.75" hidden="false" customHeight="true" outlineLevel="0" collapsed="false">
      <c r="B8" s="11" t="s">
        <v>64</v>
      </c>
      <c r="C8" s="19" t="n">
        <f aca="false">MAX(0,17-MAX('📋 NHẬP THÔNG TIN'!C5,15)+1)*6500000*12*(1+'📋 NHẬP THÔNG TIN'!C15)^MAX(0,16-'📋 NHẬP THÔNG TIN'!C5)</f>
        <v>563903730.044011</v>
      </c>
      <c r="D8" s="20"/>
      <c r="E8" s="11" t="s">
        <v>64</v>
      </c>
      <c r="F8" s="19" t="n">
        <f aca="false">MAX(0,17-MAX('📋 NHẬP THÔNG TIN'!C5,15)+1)*3500000*12*(1+'📋 NHẬP THÔNG TIN'!C15)^MAX(0,16-'📋 NHẬP THÔNG TIN'!C5)</f>
        <v>303640470.023698</v>
      </c>
    </row>
    <row r="9" customFormat="false" ht="21.75" hidden="false" customHeight="true" outlineLevel="0" collapsed="false">
      <c r="B9" s="11" t="s">
        <v>65</v>
      </c>
      <c r="C9" s="19" t="n">
        <f aca="false">MAX(0,21-MAX('📋 NHẬP THÔNG TIN'!C5,18)+1)*9000000*12*(1+'📋 NHẬP THÔNG TIN'!C15)^MAX(0,19.5-'📋 NHẬP THÔNG TIN'!C5)</f>
        <v>1319216512.28789</v>
      </c>
      <c r="D9" s="20"/>
      <c r="E9" s="11" t="s">
        <v>65</v>
      </c>
      <c r="F9" s="19" t="n">
        <f aca="false">MAX(0,21-MAX('📋 NHẬP THÔNG TIN'!C5,18)+1)*5000000*12*(1+'📋 NHẬP THÔNG TIN'!C15)^MAX(0,19.5-'📋 NHẬP THÔNG TIN'!C5)</f>
        <v>732898062.382159</v>
      </c>
    </row>
    <row r="10" customFormat="false" ht="21.75" hidden="false" customHeight="true" outlineLevel="0" collapsed="false">
      <c r="B10" s="21" t="s">
        <v>66</v>
      </c>
      <c r="C10" s="22" t="n">
        <f aca="false">SUM(C5,C6,C7,C8,C9)</f>
        <v>2818975357.64451</v>
      </c>
      <c r="D10" s="20"/>
      <c r="E10" s="21" t="s">
        <v>66</v>
      </c>
      <c r="F10" s="22" t="n">
        <f aca="false">SUM(F5,F6,F7,F8,F9)</f>
        <v>1542066125.19693</v>
      </c>
    </row>
    <row r="11" customFormat="false" ht="21.75" hidden="false" customHeight="true" outlineLevel="0" collapsed="false">
      <c r="B11" s="11" t="s">
        <v>67</v>
      </c>
      <c r="C11" s="23" t="n">
        <f aca="false">C10*0.1</f>
        <v>281897535.764451</v>
      </c>
      <c r="D11" s="20"/>
      <c r="E11" s="11" t="s">
        <v>67</v>
      </c>
      <c r="F11" s="23" t="n">
        <f aca="false">F10*0.1</f>
        <v>154206612.519693</v>
      </c>
    </row>
    <row r="12" customFormat="false" ht="21.75" hidden="false" customHeight="true" outlineLevel="0" collapsed="false">
      <c r="B12" s="21" t="s">
        <v>68</v>
      </c>
      <c r="C12" s="24" t="n">
        <f aca="false">C10+C11</f>
        <v>3100872893.40896</v>
      </c>
      <c r="D12" s="20"/>
      <c r="E12" s="21" t="s">
        <v>68</v>
      </c>
      <c r="F12" s="24" t="n">
        <f aca="false">F10+F11</f>
        <v>1696272737.71663</v>
      </c>
    </row>
    <row r="14" customFormat="false" ht="19.5" hidden="false" customHeight="true" outlineLevel="0" collapsed="false">
      <c r="B14" s="10" t="s">
        <v>69</v>
      </c>
      <c r="C14" s="10"/>
      <c r="D14" s="10"/>
      <c r="E14" s="10"/>
      <c r="F14" s="10"/>
    </row>
    <row r="15" customFormat="false" ht="21.75" hidden="false" customHeight="true" outlineLevel="0" collapsed="false">
      <c r="B15" s="11" t="s">
        <v>70</v>
      </c>
      <c r="C15" s="25" t="n">
        <f aca="false">18-'📋 NHẬP THÔNG TIN'!C5</f>
        <v>15</v>
      </c>
      <c r="D15" s="20"/>
      <c r="E15" s="11" t="s">
        <v>70</v>
      </c>
      <c r="F15" s="25" t="n">
        <f aca="false">18-'📋 NHẬP THÔNG TIN'!C5</f>
        <v>15</v>
      </c>
    </row>
    <row r="16" customFormat="false" ht="21.75" hidden="false" customHeight="true" outlineLevel="0" collapsed="false">
      <c r="B16" s="11" t="s">
        <v>71</v>
      </c>
      <c r="C16" s="19" t="n">
        <f aca="false">'📋 NHẬP THÔNG TIN'!C12*(1+'📋 NHẬP THÔNG TIN'!C16)^(18-'📋 NHẬP THÔNG TIN'!C5)</f>
        <v>25718410.0656336</v>
      </c>
      <c r="D16" s="20"/>
      <c r="E16" s="11" t="s">
        <v>71</v>
      </c>
      <c r="F16" s="19" t="n">
        <f aca="false">'📋 NHẬP THÔNG TIN'!C12*(1+'📋 NHẬP THÔNG TIN'!C16)^(18-'📋 NHẬP THÔNG TIN'!C5)</f>
        <v>25718410.0656336</v>
      </c>
    </row>
    <row r="17" customFormat="false" ht="21.75" hidden="false" customHeight="true" outlineLevel="0" collapsed="false">
      <c r="B17" s="11" t="s">
        <v>72</v>
      </c>
      <c r="C17" s="19" t="n">
        <f aca="false">'📋 NHẬP THÔNG TIN'!C11*12*((1+'📋 NHẬP THÔNG TIN'!C16)^(18-'📋 NHẬP THÔNG TIN'!C5)-1)/'📋 NHẬP THÔNG TIN'!C16</f>
        <v>580372063.961856</v>
      </c>
      <c r="D17" s="20"/>
      <c r="E17" s="11" t="s">
        <v>72</v>
      </c>
      <c r="F17" s="19" t="n">
        <f aca="false">'📋 NHẬP THÔNG TIN'!C11*12*((1+'📋 NHẬP THÔNG TIN'!C16)^(18-'📋 NHẬP THÔNG TIN'!C5)-1)/'📋 NHẬP THÔNG TIN'!C16</f>
        <v>580372063.961856</v>
      </c>
    </row>
    <row r="18" customFormat="false" ht="21.75" hidden="false" customHeight="true" outlineLevel="0" collapsed="false">
      <c r="B18" s="21" t="s">
        <v>73</v>
      </c>
      <c r="C18" s="26" t="n">
        <f aca="false">C16+C17</f>
        <v>606090474.027489</v>
      </c>
      <c r="D18" s="20"/>
      <c r="E18" s="21" t="s">
        <v>73</v>
      </c>
      <c r="F18" s="26" t="n">
        <f aca="false">F16+F17</f>
        <v>606090474.027489</v>
      </c>
    </row>
    <row r="19" customFormat="false" ht="21.75" hidden="false" customHeight="true" outlineLevel="0" collapsed="false">
      <c r="B19" s="21" t="s">
        <v>74</v>
      </c>
      <c r="C19" s="27" t="n">
        <f aca="false">C12-C18</f>
        <v>2494782419.38147</v>
      </c>
      <c r="D19" s="20"/>
      <c r="E19" s="21" t="s">
        <v>74</v>
      </c>
      <c r="F19" s="27" t="n">
        <f aca="false">F12-F18</f>
        <v>1090182263.68914</v>
      </c>
    </row>
    <row r="20" customFormat="false" ht="19.5" hidden="false" customHeight="true" outlineLevel="0" collapsed="false">
      <c r="B20" s="10" t="s">
        <v>75</v>
      </c>
      <c r="C20" s="10"/>
      <c r="D20" s="10"/>
      <c r="E20" s="10"/>
      <c r="F20" s="10"/>
    </row>
    <row r="21" customFormat="false" ht="21.75" hidden="false" customHeight="true" outlineLevel="0" collapsed="false">
      <c r="B21" s="21" t="s">
        <v>76</v>
      </c>
      <c r="C21" s="28" t="n">
        <f aca="false">IF(C19&gt;0, C19/((18-'📋 NHẬP THÔNG TIN'!C5)*12), 0)</f>
        <v>13859902.329897</v>
      </c>
      <c r="D21" s="20"/>
      <c r="E21" s="21" t="s">
        <v>76</v>
      </c>
      <c r="F21" s="28" t="n">
        <f aca="false">IF(F19&gt;0, F19/((18-'📋 NHẬP THÔNG TIN'!C5)*12), 0)</f>
        <v>6056568.13160632</v>
      </c>
    </row>
    <row r="22" customFormat="false" ht="21.75" hidden="false" customHeight="true" outlineLevel="0" collapsed="false">
      <c r="B22" s="11" t="s">
        <v>77</v>
      </c>
      <c r="C22" s="29" t="n">
        <f aca="false">IF('📋 NHẬP THÔNG TIN'!C10&gt;0,(C21+'📋 NHẬP THÔNG TIN'!C11)/'📋 NHẬP THÔNG TIN'!C10,0)</f>
        <v>0.634396093195881</v>
      </c>
      <c r="D22" s="20"/>
      <c r="E22" s="11" t="s">
        <v>77</v>
      </c>
      <c r="F22" s="29" t="n">
        <f aca="false">IF('📋 NHẬP THÔNG TIN'!C10&gt;0,(F21+'📋 NHẬP THÔNG TIN'!C11)/'📋 NHẬP THÔNG TIN'!C10,0)</f>
        <v>0.322262725264253</v>
      </c>
    </row>
    <row r="24" customFormat="false" ht="27.75" hidden="false" customHeight="true" outlineLevel="0" collapsed="false">
      <c r="B24" s="30" t="s">
        <v>78</v>
      </c>
      <c r="C24" s="30"/>
      <c r="D24" s="30"/>
      <c r="E24" s="30"/>
      <c r="F24" s="30"/>
    </row>
  </sheetData>
  <mergeCells count="5">
    <mergeCell ref="B1:F1"/>
    <mergeCell ref="B4:F4"/>
    <mergeCell ref="B14:F14"/>
    <mergeCell ref="B20:F20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22"/>
  </cols>
  <sheetData>
    <row r="1" customFormat="false" ht="36" hidden="false" customHeight="true" outlineLevel="0" collapsed="false">
      <c r="B1" s="8" t="s">
        <v>79</v>
      </c>
      <c r="C1" s="8"/>
      <c r="D1" s="8"/>
      <c r="E1" s="8"/>
    </row>
    <row r="2" customFormat="false" ht="21.75" hidden="false" customHeight="true" outlineLevel="0" collapsed="false">
      <c r="B2" s="31" t="s">
        <v>80</v>
      </c>
      <c r="C2" s="32" t="s">
        <v>81</v>
      </c>
      <c r="D2" s="33" t="s">
        <v>59</v>
      </c>
      <c r="E2" s="34" t="s">
        <v>82</v>
      </c>
    </row>
    <row r="3" customFormat="false" ht="21.75" hidden="false" customHeight="true" outlineLevel="0" collapsed="false">
      <c r="B3" s="11" t="s">
        <v>83</v>
      </c>
      <c r="C3" s="35" t="n">
        <f aca="false">'📊 KẾT QUẢ'!C12</f>
        <v>3100872893.40896</v>
      </c>
      <c r="D3" s="36" t="n">
        <f aca="false">'📊 KẾT QUẢ'!F12</f>
        <v>1696272737.71663</v>
      </c>
      <c r="E3" s="37" t="n">
        <f aca="false">C3-D3</f>
        <v>1404600155.69233</v>
      </c>
    </row>
    <row r="4" customFormat="false" ht="21.75" hidden="false" customHeight="true" outlineLevel="0" collapsed="false">
      <c r="B4" s="11" t="s">
        <v>84</v>
      </c>
      <c r="C4" s="35" t="n">
        <f aca="false">'📊 KẾT QUẢ'!C18</f>
        <v>606090474.027489</v>
      </c>
      <c r="D4" s="36" t="n">
        <f aca="false">'📊 KẾT QUẢ'!F18</f>
        <v>606090474.027489</v>
      </c>
      <c r="E4" s="37" t="n">
        <f aca="false">C4-D4</f>
        <v>0</v>
      </c>
    </row>
    <row r="5" customFormat="false" ht="21.75" hidden="false" customHeight="true" outlineLevel="0" collapsed="false">
      <c r="B5" s="11" t="s">
        <v>85</v>
      </c>
      <c r="C5" s="35" t="n">
        <f aca="false">'📊 KẾT QUẢ'!C19</f>
        <v>2494782419.38147</v>
      </c>
      <c r="D5" s="36" t="n">
        <f aca="false">'📊 KẾT QUẢ'!F19</f>
        <v>1090182263.68914</v>
      </c>
      <c r="E5" s="37" t="n">
        <f aca="false">C5-D5</f>
        <v>1404600155.69233</v>
      </c>
    </row>
    <row r="6" customFormat="false" ht="21.75" hidden="false" customHeight="true" outlineLevel="0" collapsed="false">
      <c r="B6" s="11" t="s">
        <v>86</v>
      </c>
      <c r="C6" s="35" t="n">
        <f aca="false">'📊 KẾT QUẢ'!C21</f>
        <v>13859902.329897</v>
      </c>
      <c r="D6" s="36" t="n">
        <f aca="false">'📊 KẾT QUẢ'!F21</f>
        <v>6056568.13160632</v>
      </c>
      <c r="E6" s="37" t="n">
        <f aca="false">C6-D6</f>
        <v>7803334.19829071</v>
      </c>
    </row>
    <row r="7" customFormat="false" ht="21.75" hidden="false" customHeight="true" outlineLevel="0" collapsed="false">
      <c r="B7" s="11" t="s">
        <v>77</v>
      </c>
      <c r="C7" s="38" t="n">
        <f aca="false">'📊 KẾT QUẢ'!C22</f>
        <v>0.634396093195881</v>
      </c>
      <c r="D7" s="39" t="n">
        <f aca="false">'📊 KẾT QUẢ'!F22</f>
        <v>0.322262725264253</v>
      </c>
      <c r="E7" s="40" t="n">
        <f aca="false">C7-D7</f>
        <v>0.312133367931629</v>
      </c>
    </row>
    <row r="10" customFormat="false" ht="15" hidden="false" customHeight="true" outlineLevel="0" collapsed="false">
      <c r="B10" s="10" t="s">
        <v>87</v>
      </c>
      <c r="C10" s="10"/>
      <c r="D10" s="10"/>
      <c r="E10" s="10"/>
    </row>
    <row r="11" customFormat="false" ht="21.75" hidden="false" customHeight="true" outlineLevel="0" collapsed="false">
      <c r="B11" s="41" t="s">
        <v>88</v>
      </c>
      <c r="C11" s="41"/>
      <c r="D11" s="41"/>
      <c r="E11" s="41"/>
    </row>
    <row r="12" customFormat="false" ht="21.75" hidden="false" customHeight="true" outlineLevel="0" collapsed="false">
      <c r="B12" s="41" t="s">
        <v>89</v>
      </c>
      <c r="C12" s="41"/>
      <c r="D12" s="41"/>
      <c r="E12" s="41"/>
    </row>
    <row r="13" customFormat="false" ht="21.75" hidden="false" customHeight="true" outlineLevel="0" collapsed="false">
      <c r="B13" s="41" t="s">
        <v>90</v>
      </c>
      <c r="C13" s="41"/>
      <c r="D13" s="41"/>
      <c r="E13" s="41"/>
    </row>
    <row r="14" customFormat="false" ht="21.75" hidden="false" customHeight="true" outlineLevel="0" collapsed="false">
      <c r="B14" s="41" t="s">
        <v>91</v>
      </c>
      <c r="C14" s="41"/>
      <c r="D14" s="41"/>
      <c r="E14" s="41"/>
    </row>
    <row r="15" customFormat="false" ht="21.75" hidden="false" customHeight="true" outlineLevel="0" collapsed="false">
      <c r="B15" s="41" t="s">
        <v>92</v>
      </c>
      <c r="C15" s="41"/>
      <c r="D15" s="41"/>
      <c r="E15" s="41"/>
    </row>
  </sheetData>
  <mergeCells count="7">
    <mergeCell ref="B1:E1"/>
    <mergeCell ref="B10:E10"/>
    <mergeCell ref="B11:E11"/>
    <mergeCell ref="B12:E12"/>
    <mergeCell ref="B13:E13"/>
    <mergeCell ref="B14:E1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2026-06-01T09:34:13Z</dcterms:created>
  <dc:creator>openpyxl</dc:creator>
  <dc:description/>
  <dc:language>en-US</dc:language>
  <cp:lastModifiedBy/>
  <dcterms:modified xsi:type="dcterms:W3CDTF">2026-06-01T09:35:04Z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